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showInkAnnotation="0" autoCompressPictures="0"/>
  <xr:revisionPtr revIDLastSave="12" documentId="11_E9C1A68D8F37C34357B36E5CE8C7C0EDF8269CCD" xr6:coauthVersionLast="47" xr6:coauthVersionMax="47" xr10:uidLastSave="{DE9B76F6-478D-4ADE-B9C2-42DBDDA71C50}"/>
  <bookViews>
    <workbookView xWindow="0" yWindow="0" windowWidth="0" windowHeight="0" activeTab="1" xr2:uid="{00000000-000D-0000-FFFF-FFFF00000000}"/>
  </bookViews>
  <sheets>
    <sheet name="Inputs" sheetId="1" r:id="rId1"/>
    <sheet name="Basis Projection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F10" i="2"/>
  <c r="E10" i="2"/>
  <c r="D10" i="2"/>
  <c r="C10" i="2"/>
  <c r="G9" i="2"/>
  <c r="F9" i="2"/>
  <c r="E9" i="2"/>
  <c r="D9" i="2"/>
  <c r="C9" i="2"/>
  <c r="G8" i="2"/>
  <c r="F8" i="2"/>
  <c r="E8" i="2"/>
  <c r="D8" i="2"/>
  <c r="C8" i="2"/>
  <c r="J7" i="2"/>
  <c r="G7" i="2"/>
  <c r="F7" i="2"/>
  <c r="E7" i="2"/>
  <c r="D7" i="2"/>
  <c r="C7" i="2"/>
  <c r="G6" i="2"/>
  <c r="F6" i="2"/>
  <c r="E6" i="2"/>
  <c r="D6" i="2"/>
  <c r="C6" i="2"/>
  <c r="G5" i="2"/>
  <c r="F5" i="2"/>
  <c r="E5" i="2"/>
  <c r="D5" i="2"/>
  <c r="C5" i="2"/>
  <c r="G4" i="2"/>
  <c r="F4" i="2"/>
  <c r="E4" i="2"/>
  <c r="D4" i="2"/>
  <c r="C4" i="2"/>
  <c r="I15" i="1"/>
  <c r="J15" i="1" s="1"/>
  <c r="I14" i="1"/>
  <c r="J14" i="1" s="1"/>
  <c r="I13" i="1"/>
  <c r="J13" i="1" s="1"/>
  <c r="I12" i="1"/>
  <c r="J12" i="1" s="1"/>
  <c r="I11" i="1"/>
  <c r="J6" i="2" l="1"/>
  <c r="J5" i="2"/>
  <c r="J4" i="2"/>
  <c r="J11" i="1"/>
</calcChain>
</file>

<file path=xl/sharedStrings.xml><?xml version="1.0" encoding="utf-8"?>
<sst xmlns="http://schemas.openxmlformats.org/spreadsheetml/2006/main" count="50" uniqueCount="50">
  <si>
    <t>Student Cash CTD to Futures Basis Model</t>
  </si>
  <si>
    <t>Futures Price (decimal)</t>
  </si>
  <si>
    <t>How to use</t>
  </si>
  <si>
    <t>Discount / financing rate</t>
  </si>
  <si>
    <t>1</t>
  </si>
  <si>
    <t>Enter futures price as decimal</t>
  </si>
  <si>
    <t>Example: 110.50</t>
  </si>
  <si>
    <t>Projection days</t>
  </si>
  <si>
    <t>2</t>
  </si>
  <si>
    <t>Enter discount/financing rate</t>
  </si>
  <si>
    <t>Example: 5.25%</t>
  </si>
  <si>
    <t>Day step</t>
  </si>
  <si>
    <t>3</t>
  </si>
  <si>
    <t>Change/add CTD rows</t>
  </si>
  <si>
    <t>Copy formulas in I:J if adding rows</t>
  </si>
  <si>
    <t>Selected CTD row</t>
  </si>
  <si>
    <t>4</t>
  </si>
  <si>
    <t>Chart updates from projection sheet</t>
  </si>
  <si>
    <t>Shows basis in points</t>
  </si>
  <si>
    <t>Notes</t>
  </si>
  <si>
    <t>Input prices as decimal points per $100 not 32nds.</t>
  </si>
  <si>
    <t>CTD #</t>
  </si>
  <si>
    <t>CUSIP</t>
  </si>
  <si>
    <t>Maturity</t>
  </si>
  <si>
    <t>Coupon</t>
  </si>
  <si>
    <t>Clean Cash Price</t>
  </si>
  <si>
    <t>Accrued Interest</t>
  </si>
  <si>
    <t>Dirty Cash Price</t>
  </si>
  <si>
    <t>Conversion Factor</t>
  </si>
  <si>
    <t>Current Basis</t>
  </si>
  <si>
    <t>Current Basis / 32nds</t>
  </si>
  <si>
    <t>91282CJZ5</t>
  </si>
  <si>
    <t>91282CKH3</t>
  </si>
  <si>
    <t>91282CKP5</t>
  </si>
  <si>
    <t>91282CLD9</t>
  </si>
  <si>
    <t>91282CLT3</t>
  </si>
  <si>
    <t>Projected Cash UST to Futures Basis</t>
  </si>
  <si>
    <t>Day</t>
  </si>
  <si>
    <t>Years</t>
  </si>
  <si>
    <t>CTD 1 Basis</t>
  </si>
  <si>
    <t>CTD 2 Basis</t>
  </si>
  <si>
    <t>CTD 3 Basis</t>
  </si>
  <si>
    <t>CTD 4 Basis</t>
  </si>
  <si>
    <t>CTD 5 Basis</t>
  </si>
  <si>
    <t>Summary</t>
  </si>
  <si>
    <t>Value</t>
  </si>
  <si>
    <t>Lowest current basis CTD</t>
  </si>
  <si>
    <t>Highest current basis CTD</t>
  </si>
  <si>
    <t>Selected CTD current basis</t>
  </si>
  <si>
    <t>Selected CTD projected basis at final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</si>
</sst>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%"/>
    <numFmt numFmtId="166" formatCode="0.000;[Red]\(0.000\);\-"/>
    <numFmt numFmtId="167" formatCode="yyyy\-mm\-dd"/>
  </numFmts>
  <fonts count="4">
    <font>
      <sz val="11"/>
      <name val="Carlito"/>
    </font>
    <font>
      <b/>
      <sz val="16"/>
      <name val="Carlito"/>
    </font>
    <font>
      <sz val="11"/>
      <color rgb="FF0000FF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1182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0" fontId="2" fillId="0" borderId="0" xfId="0" applyNumberFormat="1" applyFont="1"/>
    <xf numFmtId="164" fontId="2" fillId="0" borderId="0" xfId="0" applyNumberFormat="1" applyFont="1"/>
    <xf numFmtId="1" fontId="2" fillId="0" borderId="0" xfId="0" applyNumberFormat="1" applyFont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0" fontId="0" fillId="0" borderId="0" xfId="0" applyAlignment="1">
      <alignment wrapText="1"/>
    </xf>
    <xf numFmtId="164" fontId="0" fillId="0" borderId="0" xfId="0" applyNumberFormat="1"/>
    <xf numFmtId="166" fontId="0" fillId="0" borderId="0" xfId="0" applyNumberFormat="1"/>
    <xf numFmtId="0" fontId="1" fillId="0" borderId="0" xfId="0" applyFont="1" applyAlignment="1"/>
    <xf numFmtId="0" fontId="0" fillId="0" borderId="0" xfId="0" applyAlignment="1"/>
    <xf numFmtId="167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Projected CTD Cash-to-Futures Basis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Years</c:v>
          </c:tx>
          <c:cat>
            <c:numRef>
              <c:f>'Basis Projection'!$A$4:$A$10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cat>
          <c:val>
            <c:numRef>
              <c:f>'Basis Projection'!$B$4:$B$10</c:f>
              <c:numCache>
                <c:formatCode>0.000</c:formatCode>
                <c:ptCount val="7"/>
                <c:pt idx="0">
                  <c:v>0</c:v>
                </c:pt>
                <c:pt idx="1">
                  <c:v>1.3888888888888888E-2</c:v>
                </c:pt>
                <c:pt idx="2">
                  <c:v>2.7777777777777776E-2</c:v>
                </c:pt>
                <c:pt idx="3">
                  <c:v>4.1666666666666664E-2</c:v>
                </c:pt>
                <c:pt idx="4">
                  <c:v>5.5555555555555552E-2</c:v>
                </c:pt>
                <c:pt idx="5">
                  <c:v>6.9444444444444448E-2</c:v>
                </c:pt>
                <c:pt idx="6">
                  <c:v>8.3333333333333329E-2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DC-4CB7-A485-EBA313F65062}"/>
            </c:ext>
          </c:extLst>
        </c:ser>
        <c:ser>
          <c:idx val="1"/>
          <c:order val="1"/>
          <c:tx>
            <c:v>CTD 1 Basis</c:v>
          </c:tx>
          <c:cat>
            <c:numRef>
              <c:f>'Basis Projection'!$A$4:$A$10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cat>
          <c:val>
            <c:numRef>
              <c:f>'Basis Projection'!$C$4:$C$10</c:f>
              <c:numCache>
                <c:formatCode>0.000;[Red]\(0.000\);\-</c:formatCode>
                <c:ptCount val="7"/>
                <c:pt idx="0">
                  <c:v>9.044700000000006</c:v>
                </c:pt>
                <c:pt idx="1">
                  <c:v>9.1179772395833396</c:v>
                </c:pt>
                <c:pt idx="2">
                  <c:v>9.1912544791666733</c:v>
                </c:pt>
                <c:pt idx="3">
                  <c:v>9.2645317187500069</c:v>
                </c:pt>
                <c:pt idx="4">
                  <c:v>9.3378089583333406</c:v>
                </c:pt>
                <c:pt idx="5">
                  <c:v>9.4110861979166742</c:v>
                </c:pt>
                <c:pt idx="6">
                  <c:v>9.4843634375000079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DC-4CB7-A485-EBA313F65062}"/>
            </c:ext>
          </c:extLst>
        </c:ser>
        <c:ser>
          <c:idx val="2"/>
          <c:order val="2"/>
          <c:tx>
            <c:v>CTD 2 Basis</c:v>
          </c:tx>
          <c:cat>
            <c:numRef>
              <c:f>'Basis Projection'!$A$4:$A$10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cat>
          <c:val>
            <c:numRef>
              <c:f>'Basis Projection'!$D$4:$D$10</c:f>
              <c:numCache>
                <c:formatCode>0.000;[Red]\(0.000\);\-</c:formatCode>
                <c:ptCount val="7"/>
                <c:pt idx="0">
                  <c:v>8.3512000000000057</c:v>
                </c:pt>
                <c:pt idx="1">
                  <c:v>8.4245758593750111</c:v>
                </c:pt>
                <c:pt idx="2">
                  <c:v>8.4979517187500022</c:v>
                </c:pt>
                <c:pt idx="3">
                  <c:v>8.5713275781250076</c:v>
                </c:pt>
                <c:pt idx="4">
                  <c:v>8.6447034375000129</c:v>
                </c:pt>
                <c:pt idx="5">
                  <c:v>8.718079296875004</c:v>
                </c:pt>
                <c:pt idx="6">
                  <c:v>8.7914551562500094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DC-4CB7-A485-EBA313F65062}"/>
            </c:ext>
          </c:extLst>
        </c:ser>
        <c:ser>
          <c:idx val="3"/>
          <c:order val="3"/>
          <c:tx>
            <c:v>CTD 3 Basis</c:v>
          </c:tx>
          <c:cat>
            <c:numRef>
              <c:f>'Basis Projection'!$A$4:$A$10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cat>
          <c:val>
            <c:numRef>
              <c:f>'Basis Projection'!$E$4:$E$10</c:f>
              <c:numCache>
                <c:formatCode>0.000;[Red]\(0.000\);\-</c:formatCode>
                <c:ptCount val="7"/>
                <c:pt idx="0">
                  <c:v>7.9818499999999943</c:v>
                </c:pt>
                <c:pt idx="1">
                  <c:v>8.0555769531249979</c:v>
                </c:pt>
                <c:pt idx="2">
                  <c:v>8.1293039062500014</c:v>
                </c:pt>
                <c:pt idx="3">
                  <c:v>8.2030308593749908</c:v>
                </c:pt>
                <c:pt idx="4">
                  <c:v>8.2767578124999943</c:v>
                </c:pt>
                <c:pt idx="5">
                  <c:v>8.3504847656249979</c:v>
                </c:pt>
                <c:pt idx="6">
                  <c:v>8.4242117187500014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DC-4CB7-A485-EBA313F65062}"/>
            </c:ext>
          </c:extLst>
        </c:ser>
        <c:ser>
          <c:idx val="4"/>
          <c:order val="4"/>
          <c:tx>
            <c:v>CTD 4 Basis</c:v>
          </c:tx>
          <c:cat>
            <c:numRef>
              <c:f>'Basis Projection'!$A$4:$A$10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cat>
          <c:val>
            <c:numRef>
              <c:f>'Basis Projection'!$F$4:$F$10</c:f>
              <c:numCache>
                <c:formatCode>0.000;[Red]\(0.000\);\-</c:formatCode>
                <c:ptCount val="7"/>
                <c:pt idx="0">
                  <c:v>7.5100499999999926</c:v>
                </c:pt>
                <c:pt idx="1">
                  <c:v>7.5840452864583199</c:v>
                </c:pt>
                <c:pt idx="2">
                  <c:v>7.6580405729166614</c:v>
                </c:pt>
                <c:pt idx="3">
                  <c:v>7.7320358593749887</c:v>
                </c:pt>
                <c:pt idx="4">
                  <c:v>7.8060311458333302</c:v>
                </c:pt>
                <c:pt idx="5">
                  <c:v>7.8800264322916576</c:v>
                </c:pt>
                <c:pt idx="6">
                  <c:v>7.9540217187499991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8DC-4CB7-A485-EBA313F65062}"/>
            </c:ext>
          </c:extLst>
        </c:ser>
        <c:ser>
          <c:idx val="5"/>
          <c:order val="5"/>
          <c:tx>
            <c:v>CTD 5 Basis</c:v>
          </c:tx>
          <c:cat>
            <c:numRef>
              <c:f>'Basis Projection'!$A$4:$A$10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cat>
          <c:val>
            <c:numRef>
              <c:f>'Basis Projection'!$G$4:$G$10</c:f>
              <c:numCache>
                <c:formatCode>0.000;[Red]\(0.000\);\-</c:formatCode>
                <c:ptCount val="7"/>
                <c:pt idx="0">
                  <c:v>7.1344000000000136</c:v>
                </c:pt>
                <c:pt idx="1">
                  <c:v>7.208749843750013</c:v>
                </c:pt>
                <c:pt idx="2">
                  <c:v>7.2830996875000125</c:v>
                </c:pt>
                <c:pt idx="3">
                  <c:v>7.3574495312500119</c:v>
                </c:pt>
                <c:pt idx="4">
                  <c:v>7.4317993750000113</c:v>
                </c:pt>
                <c:pt idx="5">
                  <c:v>7.5061492187500107</c:v>
                </c:pt>
                <c:pt idx="6">
                  <c:v>7.5804990625000102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8DC-4CB7-A485-EBA313F65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9</xdr:row>
      <xdr:rowOff>0</xdr:rowOff>
    </xdr:from>
    <xdr:to>
      <xdr:col>17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TDTable" displayName="CTDTable" ref="A10:J15">
  <tableColumns count="10">
    <tableColumn id="1" xr3:uid="{00000000-0010-0000-0000-000001000000}" name="CTD #"/>
    <tableColumn id="2" xr3:uid="{00000000-0010-0000-0000-000002000000}" name="CUSIP"/>
    <tableColumn id="3" xr3:uid="{00000000-0010-0000-0000-000003000000}" name="Maturity"/>
    <tableColumn id="4" xr3:uid="{00000000-0010-0000-0000-000004000000}" name="Coupon"/>
    <tableColumn id="5" xr3:uid="{00000000-0010-0000-0000-000005000000}" name="Clean Cash Price"/>
    <tableColumn id="6" xr3:uid="{00000000-0010-0000-0000-000006000000}" name="Accrued Interest"/>
    <tableColumn id="7" xr3:uid="{00000000-0010-0000-0000-000007000000}" name="Dirty Cash Price"/>
    <tableColumn id="8" xr3:uid="{00000000-0010-0000-0000-000008000000}" name="Conversion Factor"/>
    <tableColumn id="9" xr3:uid="{00000000-0010-0000-0000-000009000000}" name="Current Basis"/>
    <tableColumn id="10" xr3:uid="{00000000-0010-0000-0000-00000A000000}" name="Current Basis / 32nd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jectionTable" displayName="ProjectionTable" ref="A3:G10">
  <tableColumns count="7">
    <tableColumn id="1" xr3:uid="{00000000-0010-0000-0100-000001000000}" name="Day"/>
    <tableColumn id="2" xr3:uid="{00000000-0010-0000-0100-000002000000}" name="Years"/>
    <tableColumn id="3" xr3:uid="{00000000-0010-0000-0100-000003000000}" name="CTD 1 Basis"/>
    <tableColumn id="4" xr3:uid="{00000000-0010-0000-0100-000004000000}" name="CTD 2 Basis"/>
    <tableColumn id="5" xr3:uid="{00000000-0010-0000-0100-000005000000}" name="CTD 3 Basis"/>
    <tableColumn id="6" xr3:uid="{00000000-0010-0000-0100-000006000000}" name="CTD 4 Basis"/>
    <tableColumn id="7" xr3:uid="{00000000-0010-0000-0100-000007000000}" name="CTD 5 Bas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zoomScaleNormal="100" zoomScaleSheetLayoutView="100" workbookViewId="0"/>
  </sheetViews>
  <sheetFormatPr defaultRowHeight="15"/>
  <cols>
    <col min="1" max="1" width="48.875" customWidth="1"/>
    <col min="2" max="2" width="40.25" customWidth="1"/>
    <col min="3" max="3" width="9.125" customWidth="1"/>
    <col min="4" max="4" width="6.375" customWidth="1"/>
    <col min="5" max="6" width="13.375" customWidth="1"/>
    <col min="7" max="7" width="12.75" customWidth="1"/>
    <col min="8" max="8" width="14.5" customWidth="1"/>
    <col min="9" max="9" width="10.75" customWidth="1"/>
    <col min="10" max="10" width="17.375" customWidth="1"/>
  </cols>
  <sheetData>
    <row r="1" spans="1:14">
      <c r="A1" s="11" t="s">
        <v>0</v>
      </c>
      <c r="B1" s="12"/>
      <c r="C1" s="12"/>
      <c r="D1" s="12"/>
      <c r="E1" s="12"/>
      <c r="F1" s="12"/>
      <c r="G1" s="12"/>
      <c r="H1" s="12"/>
    </row>
    <row r="3" spans="1:14">
      <c r="A3" t="s">
        <v>1</v>
      </c>
      <c r="B3" s="2">
        <v>110.5</v>
      </c>
      <c r="L3" s="4" t="s">
        <v>2</v>
      </c>
      <c r="M3" s="4"/>
      <c r="N3" s="4"/>
    </row>
    <row r="4" spans="1:14">
      <c r="A4" t="s">
        <v>3</v>
      </c>
      <c r="B4" s="1">
        <v>5.2499999999999998E-2</v>
      </c>
      <c r="L4" s="8" t="s">
        <v>4</v>
      </c>
      <c r="M4" s="8" t="s">
        <v>5</v>
      </c>
      <c r="N4" s="8" t="s">
        <v>6</v>
      </c>
    </row>
    <row r="5" spans="1:14">
      <c r="A5" t="s">
        <v>7</v>
      </c>
      <c r="B5" s="3">
        <v>30</v>
      </c>
      <c r="L5" s="8" t="s">
        <v>8</v>
      </c>
      <c r="M5" s="8" t="s">
        <v>9</v>
      </c>
      <c r="N5" s="8" t="s">
        <v>10</v>
      </c>
    </row>
    <row r="6" spans="1:14">
      <c r="A6" t="s">
        <v>11</v>
      </c>
      <c r="B6" s="3">
        <v>5</v>
      </c>
      <c r="L6" s="8" t="s">
        <v>12</v>
      </c>
      <c r="M6" s="8" t="s">
        <v>13</v>
      </c>
      <c r="N6" s="8" t="s">
        <v>14</v>
      </c>
    </row>
    <row r="7" spans="1:14">
      <c r="A7" t="s">
        <v>15</v>
      </c>
      <c r="B7">
        <v>1</v>
      </c>
      <c r="L7" s="8" t="s">
        <v>16</v>
      </c>
      <c r="M7" s="8" t="s">
        <v>17</v>
      </c>
      <c r="N7" s="8" t="s">
        <v>18</v>
      </c>
    </row>
    <row r="8" spans="1:14">
      <c r="A8" t="s">
        <v>19</v>
      </c>
      <c r="B8" t="s">
        <v>20</v>
      </c>
      <c r="L8" s="8"/>
      <c r="M8" s="8"/>
      <c r="N8" s="8"/>
    </row>
    <row r="9" spans="1:14">
      <c r="L9" s="8"/>
      <c r="M9" s="8"/>
      <c r="N9" s="8"/>
    </row>
    <row r="10" spans="1:14">
      <c r="A10" s="5" t="s">
        <v>21</v>
      </c>
      <c r="B10" s="5" t="s">
        <v>22</v>
      </c>
      <c r="C10" s="5" t="s">
        <v>23</v>
      </c>
      <c r="D10" s="5" t="s">
        <v>24</v>
      </c>
      <c r="E10" s="5" t="s">
        <v>25</v>
      </c>
      <c r="F10" s="5" t="s">
        <v>26</v>
      </c>
      <c r="G10" s="5" t="s">
        <v>27</v>
      </c>
      <c r="H10" s="5" t="s">
        <v>28</v>
      </c>
      <c r="I10" s="5" t="s">
        <v>29</v>
      </c>
      <c r="J10" s="5" t="s">
        <v>30</v>
      </c>
      <c r="L10" s="8"/>
      <c r="M10" s="8"/>
      <c r="N10" s="8"/>
    </row>
    <row r="11" spans="1:14">
      <c r="A11" s="6">
        <v>1</v>
      </c>
      <c r="B11" s="6" t="s">
        <v>31</v>
      </c>
      <c r="C11" s="13">
        <v>48806</v>
      </c>
      <c r="D11" s="14">
        <v>3.875E-2</v>
      </c>
      <c r="E11" s="7">
        <v>99.8125</v>
      </c>
      <c r="F11" s="7">
        <v>0.68200000000000005</v>
      </c>
      <c r="G11" s="7">
        <v>100.4945</v>
      </c>
      <c r="H11" s="7">
        <v>0.8276</v>
      </c>
      <c r="I11" s="7">
        <f>G11-($B$3*H11)</f>
        <v>9.044700000000006</v>
      </c>
      <c r="J11" s="7">
        <f>I11*32</f>
        <v>289.43040000000019</v>
      </c>
    </row>
    <row r="12" spans="1:14">
      <c r="A12" s="6">
        <v>2</v>
      </c>
      <c r="B12" s="6" t="s">
        <v>32</v>
      </c>
      <c r="C12" s="13">
        <v>48990</v>
      </c>
      <c r="D12" s="14">
        <v>0.04</v>
      </c>
      <c r="E12" s="7">
        <v>100.21875</v>
      </c>
      <c r="F12" s="7">
        <v>0.41099999999999998</v>
      </c>
      <c r="G12" s="7">
        <v>100.62975</v>
      </c>
      <c r="H12" s="7">
        <v>0.83509999999999995</v>
      </c>
      <c r="I12" s="7">
        <f>G12-($B$3*H12)</f>
        <v>8.3512000000000057</v>
      </c>
      <c r="J12" s="7">
        <f>I12*32</f>
        <v>267.23840000000018</v>
      </c>
    </row>
    <row r="13" spans="1:14">
      <c r="A13" s="6">
        <v>3</v>
      </c>
      <c r="B13" s="6" t="s">
        <v>33</v>
      </c>
      <c r="C13" s="13">
        <v>49171</v>
      </c>
      <c r="D13" s="14">
        <v>4.1250000000000002E-2</v>
      </c>
      <c r="E13" s="7">
        <v>100.90625</v>
      </c>
      <c r="F13" s="7">
        <v>0.20499999999999999</v>
      </c>
      <c r="G13" s="7">
        <v>101.11125</v>
      </c>
      <c r="H13" s="7">
        <v>0.84279999999999999</v>
      </c>
      <c r="I13" s="7">
        <f>G13-($B$3*H13)</f>
        <v>7.9818499999999943</v>
      </c>
      <c r="J13" s="7">
        <f>I13*32</f>
        <v>255.41919999999982</v>
      </c>
    </row>
    <row r="14" spans="1:14">
      <c r="A14" s="6">
        <v>4</v>
      </c>
      <c r="B14" s="6" t="s">
        <v>34</v>
      </c>
      <c r="C14" s="13">
        <v>49355</v>
      </c>
      <c r="D14" s="14">
        <v>4.2500000000000003E-2</v>
      </c>
      <c r="E14" s="7">
        <v>101.40625</v>
      </c>
      <c r="F14" s="7">
        <v>7.2999999999999995E-2</v>
      </c>
      <c r="G14" s="7">
        <v>101.47924999999999</v>
      </c>
      <c r="H14" s="7">
        <v>0.85040000000000004</v>
      </c>
      <c r="I14" s="7">
        <f>G14-($B$3*H14)</f>
        <v>7.5100499999999926</v>
      </c>
      <c r="J14" s="7">
        <f>I14*32</f>
        <v>240.32159999999976</v>
      </c>
    </row>
    <row r="15" spans="1:14">
      <c r="A15" s="6">
        <v>5</v>
      </c>
      <c r="B15" s="6" t="s">
        <v>35</v>
      </c>
      <c r="C15" s="13">
        <v>49536</v>
      </c>
      <c r="D15" s="14">
        <v>4.3749999999999997E-2</v>
      </c>
      <c r="E15" s="7">
        <v>101.9375</v>
      </c>
      <c r="F15" s="7">
        <v>2.8000000000000001E-2</v>
      </c>
      <c r="G15" s="7">
        <v>101.96550000000001</v>
      </c>
      <c r="H15" s="7">
        <v>0.85819999999999996</v>
      </c>
      <c r="I15" s="7">
        <f>G15-($B$3*H15)</f>
        <v>7.1344000000000136</v>
      </c>
      <c r="J15" s="7">
        <f>I15*32</f>
        <v>228.30080000000044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tabSelected="1" zoomScaleNormal="100" zoomScaleSheetLayoutView="100" workbookViewId="0"/>
  </sheetViews>
  <sheetFormatPr defaultRowHeight="15"/>
  <cols>
    <col min="1" max="1" width="42.25" customWidth="1"/>
    <col min="2" max="2" width="12.625" customWidth="1"/>
    <col min="3" max="3" width="10.875" customWidth="1"/>
    <col min="4" max="5" width="9.25" customWidth="1"/>
    <col min="6" max="6" width="10" customWidth="1"/>
    <col min="7" max="7" width="11.75" customWidth="1"/>
    <col min="9" max="9" width="22" customWidth="1"/>
    <col min="10" max="10" width="18.375" customWidth="1"/>
  </cols>
  <sheetData>
    <row r="1" spans="1:10">
      <c r="A1" s="11" t="s">
        <v>36</v>
      </c>
      <c r="B1" s="12"/>
      <c r="C1" s="12"/>
      <c r="D1" s="12"/>
      <c r="E1" s="12"/>
      <c r="F1" s="12"/>
      <c r="G1" s="12"/>
      <c r="H1" s="12"/>
    </row>
    <row r="3" spans="1:10">
      <c r="A3" s="5" t="s">
        <v>37</v>
      </c>
      <c r="B3" s="5" t="s">
        <v>38</v>
      </c>
      <c r="C3" s="5" t="s">
        <v>39</v>
      </c>
      <c r="D3" s="5" t="s">
        <v>40</v>
      </c>
      <c r="E3" s="5" t="s">
        <v>41</v>
      </c>
      <c r="F3" s="5" t="s">
        <v>42</v>
      </c>
      <c r="G3" s="5" t="s">
        <v>43</v>
      </c>
      <c r="I3" s="4" t="s">
        <v>44</v>
      </c>
      <c r="J3" s="4" t="s">
        <v>45</v>
      </c>
    </row>
    <row r="4" spans="1:10">
      <c r="A4">
        <v>0</v>
      </c>
      <c r="B4" s="9">
        <v>0</v>
      </c>
      <c r="C4" s="10">
        <f>Inputs!G11*(1+Inputs!$B$4*$B4)-(Inputs!$B$3*Inputs!H11)</f>
        <v>9.044700000000006</v>
      </c>
      <c r="D4" s="10">
        <f>Inputs!G12*(1+Inputs!$B$4*$B4)-(Inputs!$B$3*Inputs!H12)</f>
        <v>8.3512000000000057</v>
      </c>
      <c r="E4" s="10">
        <f>Inputs!G13*(1+Inputs!$B$4*$B4)-(Inputs!$B$3*Inputs!H13)</f>
        <v>7.9818499999999943</v>
      </c>
      <c r="F4" s="10">
        <f>Inputs!G14*(1+Inputs!$B$4*$B4)-(Inputs!$B$3*Inputs!H14)</f>
        <v>7.5100499999999926</v>
      </c>
      <c r="G4" s="10">
        <f>Inputs!G15*(1+Inputs!$B$4*$B4)-(Inputs!$B$3*Inputs!H15)</f>
        <v>7.1344000000000136</v>
      </c>
      <c r="I4" t="s">
        <v>46</v>
      </c>
      <c r="J4" t="str">
        <f>INDEX(Inputs!B11:B15,MATCH(MIN(Inputs!I11:I15),Inputs!I11:I15,0))</f>
        <v>91282CLT3</v>
      </c>
    </row>
    <row r="5" spans="1:10">
      <c r="A5">
        <v>5</v>
      </c>
      <c r="B5" s="9">
        <v>1.3888888888888888E-2</v>
      </c>
      <c r="C5" s="10">
        <f>Inputs!G11*(1+Inputs!$B$4*$B5)-(Inputs!$B$3*Inputs!H11)</f>
        <v>9.1179772395833396</v>
      </c>
      <c r="D5" s="10">
        <f>Inputs!G12*(1+Inputs!$B$4*$B5)-(Inputs!$B$3*Inputs!H12)</f>
        <v>8.4245758593750111</v>
      </c>
      <c r="E5" s="10">
        <f>Inputs!G13*(1+Inputs!$B$4*$B5)-(Inputs!$B$3*Inputs!H13)</f>
        <v>8.0555769531249979</v>
      </c>
      <c r="F5" s="10">
        <f>Inputs!G14*(1+Inputs!$B$4*$B5)-(Inputs!$B$3*Inputs!H14)</f>
        <v>7.5840452864583199</v>
      </c>
      <c r="G5" s="10">
        <f>Inputs!G15*(1+Inputs!$B$4*$B5)-(Inputs!$B$3*Inputs!H15)</f>
        <v>7.208749843750013</v>
      </c>
      <c r="I5" t="s">
        <v>47</v>
      </c>
      <c r="J5" t="str">
        <f>INDEX(Inputs!B11:B15,MATCH(MAX(Inputs!I11:I15),Inputs!I11:I15,0))</f>
        <v>91282CJZ5</v>
      </c>
    </row>
    <row r="6" spans="1:10">
      <c r="A6">
        <v>10</v>
      </c>
      <c r="B6" s="9">
        <v>2.7777777777777776E-2</v>
      </c>
      <c r="C6" s="10">
        <f>Inputs!G11*(1+Inputs!$B$4*$B6)-(Inputs!$B$3*Inputs!H11)</f>
        <v>9.1912544791666733</v>
      </c>
      <c r="D6" s="10">
        <f>Inputs!G12*(1+Inputs!$B$4*$B6)-(Inputs!$B$3*Inputs!H12)</f>
        <v>8.4979517187500022</v>
      </c>
      <c r="E6" s="10">
        <f>Inputs!G13*(1+Inputs!$B$4*$B6)-(Inputs!$B$3*Inputs!H13)</f>
        <v>8.1293039062500014</v>
      </c>
      <c r="F6" s="10">
        <f>Inputs!G14*(1+Inputs!$B$4*$B6)-(Inputs!$B$3*Inputs!H14)</f>
        <v>7.6580405729166614</v>
      </c>
      <c r="G6" s="10">
        <f>Inputs!G15*(1+Inputs!$B$4*$B6)-(Inputs!$B$3*Inputs!H15)</f>
        <v>7.2830996875000125</v>
      </c>
      <c r="I6" t="s">
        <v>48</v>
      </c>
      <c r="J6" s="10">
        <f>INDEX(Inputs!I11:I15,Inputs!B7)</f>
        <v>9.044700000000006</v>
      </c>
    </row>
    <row r="7" spans="1:10">
      <c r="A7">
        <v>15</v>
      </c>
      <c r="B7" s="9">
        <v>4.1666666666666664E-2</v>
      </c>
      <c r="C7" s="10">
        <f>Inputs!G11*(1+Inputs!$B$4*$B7)-(Inputs!$B$3*Inputs!H11)</f>
        <v>9.2645317187500069</v>
      </c>
      <c r="D7" s="10">
        <f>Inputs!G12*(1+Inputs!$B$4*$B7)-(Inputs!$B$3*Inputs!H12)</f>
        <v>8.5713275781250076</v>
      </c>
      <c r="E7" s="10">
        <f>Inputs!G13*(1+Inputs!$B$4*$B7)-(Inputs!$B$3*Inputs!H13)</f>
        <v>8.2030308593749908</v>
      </c>
      <c r="F7" s="10">
        <f>Inputs!G14*(1+Inputs!$B$4*$B7)-(Inputs!$B$3*Inputs!H14)</f>
        <v>7.7320358593749887</v>
      </c>
      <c r="G7" s="10">
        <f>Inputs!G15*(1+Inputs!$B$4*$B7)-(Inputs!$B$3*Inputs!H15)</f>
        <v>7.3574495312500119</v>
      </c>
      <c r="I7" t="s">
        <v>49</v>
      </c>
      <c r="J7" s="10">
        <f>INDEX(C10:G10,1,Inputs!B7)</f>
        <v>9.4843634375000079</v>
      </c>
    </row>
    <row r="8" spans="1:10">
      <c r="A8">
        <v>20</v>
      </c>
      <c r="B8" s="9">
        <v>5.5555555555555552E-2</v>
      </c>
      <c r="C8" s="10">
        <f>Inputs!G11*(1+Inputs!$B$4*$B8)-(Inputs!$B$3*Inputs!H11)</f>
        <v>9.3378089583333406</v>
      </c>
      <c r="D8" s="10">
        <f>Inputs!G12*(1+Inputs!$B$4*$B8)-(Inputs!$B$3*Inputs!H12)</f>
        <v>8.6447034375000129</v>
      </c>
      <c r="E8" s="10">
        <f>Inputs!G13*(1+Inputs!$B$4*$B8)-(Inputs!$B$3*Inputs!H13)</f>
        <v>8.2767578124999943</v>
      </c>
      <c r="F8" s="10">
        <f>Inputs!G14*(1+Inputs!$B$4*$B8)-(Inputs!$B$3*Inputs!H14)</f>
        <v>7.8060311458333302</v>
      </c>
      <c r="G8" s="10">
        <f>Inputs!G15*(1+Inputs!$B$4*$B8)-(Inputs!$B$3*Inputs!H15)</f>
        <v>7.4317993750000113</v>
      </c>
    </row>
    <row r="9" spans="1:10">
      <c r="A9">
        <v>25</v>
      </c>
      <c r="B9" s="9">
        <v>6.9444444444444448E-2</v>
      </c>
      <c r="C9" s="10">
        <f>Inputs!G11*(1+Inputs!$B$4*$B9)-(Inputs!$B$3*Inputs!H11)</f>
        <v>9.4110861979166742</v>
      </c>
      <c r="D9" s="10">
        <f>Inputs!G12*(1+Inputs!$B$4*$B9)-(Inputs!$B$3*Inputs!H12)</f>
        <v>8.718079296875004</v>
      </c>
      <c r="E9" s="10">
        <f>Inputs!G13*(1+Inputs!$B$4*$B9)-(Inputs!$B$3*Inputs!H13)</f>
        <v>8.3504847656249979</v>
      </c>
      <c r="F9" s="10">
        <f>Inputs!G14*(1+Inputs!$B$4*$B9)-(Inputs!$B$3*Inputs!H14)</f>
        <v>7.8800264322916576</v>
      </c>
      <c r="G9" s="10">
        <f>Inputs!G15*(1+Inputs!$B$4*$B9)-(Inputs!$B$3*Inputs!H15)</f>
        <v>7.5061492187500107</v>
      </c>
    </row>
    <row r="10" spans="1:10">
      <c r="A10">
        <v>30</v>
      </c>
      <c r="B10" s="9">
        <v>8.3333333333333329E-2</v>
      </c>
      <c r="C10" s="10">
        <f>Inputs!G11*(1+Inputs!$B$4*$B10)-(Inputs!$B$3*Inputs!H11)</f>
        <v>9.4843634375000079</v>
      </c>
      <c r="D10" s="10">
        <f>Inputs!G12*(1+Inputs!$B$4*$B10)-(Inputs!$B$3*Inputs!H12)</f>
        <v>8.7914551562500094</v>
      </c>
      <c r="E10" s="10">
        <f>Inputs!G13*(1+Inputs!$B$4*$B10)-(Inputs!$B$3*Inputs!H13)</f>
        <v>8.4242117187500014</v>
      </c>
      <c r="F10" s="10">
        <f>Inputs!G14*(1+Inputs!$B$4*$B10)-(Inputs!$B$3*Inputs!H14)</f>
        <v>7.9540217187499991</v>
      </c>
      <c r="G10" s="10">
        <f>Inputs!G15*(1+Inputs!$B$4*$B10)-(Inputs!$B$3*Inputs!H15)</f>
        <v>7.5804990625000102</v>
      </c>
    </row>
  </sheetData>
  <mergeCells count="1">
    <mergeCell ref="A1:H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Daniel, Robert Nikolas</cp:lastModifiedBy>
  <cp:revision/>
  <dcterms:created xsi:type="dcterms:W3CDTF">2026-05-20T06:17:55Z</dcterms:created>
  <dcterms:modified xsi:type="dcterms:W3CDTF">2026-05-20T06:17:55Z</dcterms:modified>
  <cp:category/>
  <cp:contentStatus/>
</cp:coreProperties>
</file>